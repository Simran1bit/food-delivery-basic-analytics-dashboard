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food delivery basic excel\"/>
    </mc:Choice>
  </mc:AlternateContent>
  <xr:revisionPtr revIDLastSave="0" documentId="13_ncr:1_{49222072-3FFE-4AAC-B865-2EB3E31F6E86}" xr6:coauthVersionLast="47" xr6:coauthVersionMax="47" xr10:uidLastSave="{00000000-0000-0000-0000-000000000000}"/>
  <bookViews>
    <workbookView visibility="hidden" xWindow="-110" yWindow="-110" windowWidth="19420" windowHeight="11500" firstSheet="5" activeTab="7" xr2:uid="{22D0CB5D-2322-40BA-9F73-0F57B6DE486F}"/>
    <workbookView xWindow="-110" yWindow="-110" windowWidth="19420" windowHeight="11500" firstSheet="7" activeTab="7" xr2:uid="{CE2AFF31-2053-496A-8315-6D5DF8E31871}"/>
  </bookViews>
  <sheets>
    <sheet name="Raw_Data" sheetId="1" r:id="rId1"/>
    <sheet name="Cleaned_Data" sheetId="2" r:id="rId2"/>
    <sheet name="Analysis" sheetId="4" r:id="rId3"/>
    <sheet name="Sales by city" sheetId="6" r:id="rId4"/>
    <sheet name="Orders by Payment method" sheetId="7" r:id="rId5"/>
    <sheet name="Avg rating by City" sheetId="8" r:id="rId6"/>
    <sheet name="Delivery Time by City" sheetId="9" r:id="rId7"/>
    <sheet name="Dashboard" sheetId="10" r:id="rId8"/>
  </sheets>
  <definedNames>
    <definedName name="_xlnm._FilterDatabase" localSheetId="1" hidden="1">Cleaned_Data!$H$1:$H$2</definedName>
    <definedName name="_xlnm.Print_Area" localSheetId="7">Dashboard!$A$1:$Q$26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0" l="1"/>
  <c r="I5" i="10"/>
  <c r="E5" i="10"/>
  <c r="C5" i="4"/>
  <c r="C3" i="4"/>
  <c r="C8" i="4"/>
  <c r="F20" i="4"/>
  <c r="F15" i="4"/>
  <c r="F16" i="4"/>
  <c r="F17" i="4"/>
  <c r="F14" i="4"/>
  <c r="F10" i="4"/>
  <c r="F11" i="4"/>
  <c r="F9" i="4"/>
  <c r="F4" i="4"/>
  <c r="F5" i="4"/>
  <c r="F6" i="4"/>
  <c r="F3" i="4"/>
  <c r="C2" i="2"/>
  <c r="C3" i="2"/>
  <c r="C4" i="2"/>
  <c r="C5" i="2"/>
  <c r="C6" i="2"/>
  <c r="C7" i="2"/>
  <c r="C8" i="2"/>
  <c r="C9" i="2"/>
  <c r="C10" i="2"/>
  <c r="C11" i="2"/>
  <c r="D3" i="2"/>
  <c r="D4" i="2"/>
  <c r="D5" i="2"/>
  <c r="D6" i="2"/>
  <c r="D7" i="2"/>
  <c r="D8" i="2"/>
  <c r="D9" i="2"/>
  <c r="D10" i="2"/>
  <c r="D11" i="2"/>
  <c r="D2" i="2"/>
  <c r="C7" i="4" l="1"/>
  <c r="C4" i="4"/>
  <c r="C6" i="4"/>
</calcChain>
</file>

<file path=xl/sharedStrings.xml><?xml version="1.0" encoding="utf-8"?>
<sst xmlns="http://schemas.openxmlformats.org/spreadsheetml/2006/main" count="131" uniqueCount="57">
  <si>
    <t>Order_ID</t>
  </si>
  <si>
    <t>Customer</t>
  </si>
  <si>
    <t>City</t>
  </si>
  <si>
    <t>Order_Amount</t>
  </si>
  <si>
    <t>Delivery_Time_Min</t>
  </si>
  <si>
    <t>Rating</t>
  </si>
  <si>
    <t>Payment_Method</t>
  </si>
  <si>
    <t>Order_Date</t>
  </si>
  <si>
    <t>Simran</t>
  </si>
  <si>
    <t>Aman</t>
  </si>
  <si>
    <t>Riya</t>
  </si>
  <si>
    <t>Kabir</t>
  </si>
  <si>
    <t>NULL</t>
  </si>
  <si>
    <t>Neha</t>
  </si>
  <si>
    <t>Arjun</t>
  </si>
  <si>
    <t>Priya</t>
  </si>
  <si>
    <t>Ravi</t>
  </si>
  <si>
    <t>Sneha</t>
  </si>
  <si>
    <t>Karan</t>
  </si>
  <si>
    <t>Delhi</t>
  </si>
  <si>
    <t>Mumbai</t>
  </si>
  <si>
    <t>delhi</t>
  </si>
  <si>
    <t>Bangalore</t>
  </si>
  <si>
    <t>Chennai</t>
  </si>
  <si>
    <t>DELHI</t>
  </si>
  <si>
    <t>five hundred</t>
  </si>
  <si>
    <t>UPI</t>
  </si>
  <si>
    <t>Cash</t>
  </si>
  <si>
    <t>Card</t>
  </si>
  <si>
    <t>invalid</t>
  </si>
  <si>
    <t>mumbai</t>
  </si>
  <si>
    <t>chennai</t>
  </si>
  <si>
    <t>bangalore</t>
  </si>
  <si>
    <t>What is total sales?</t>
  </si>
  <si>
    <t>Which city has highest sales?</t>
  </si>
  <si>
    <t>Average delivery time?</t>
  </si>
  <si>
    <t>Which payment method is most used?</t>
  </si>
  <si>
    <t>Which city has lowest ratings?</t>
  </si>
  <si>
    <t>Do longer delivery times reduce ratings?</t>
  </si>
  <si>
    <t>(Hint: compare high delivery times with ratings)</t>
  </si>
  <si>
    <t>Q No.</t>
  </si>
  <si>
    <t>Question</t>
  </si>
  <si>
    <t>Answer</t>
  </si>
  <si>
    <t>Sales by City</t>
  </si>
  <si>
    <t>Payment method</t>
  </si>
  <si>
    <t>City Ratings</t>
  </si>
  <si>
    <t>Correlation? Q6</t>
  </si>
  <si>
    <t>Yes/No</t>
  </si>
  <si>
    <t>Grand Total</t>
  </si>
  <si>
    <t>Sales</t>
  </si>
  <si>
    <t>Payment Method</t>
  </si>
  <si>
    <t>No. of order</t>
  </si>
  <si>
    <t>Average Rating</t>
  </si>
  <si>
    <t>Avg Delivery Time</t>
  </si>
  <si>
    <t>Total Sales</t>
  </si>
  <si>
    <t>Total Orders</t>
  </si>
  <si>
    <t>Food Delivery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</si>
</sst>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44" fontId="1" fillId="0" borderId="0" applyFont="0" applyFill="0" applyBorder="0" applyAlignment="0" applyProtection="0"/>
    <xf numFmtId="0" fontId="4" fillId="4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2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2" fillId="2" borderId="1" xfId="1" applyFont="1" applyBorder="1"/>
    <xf numFmtId="0" fontId="0" fillId="0" borderId="2" xfId="0" applyBorder="1"/>
    <xf numFmtId="0" fontId="0" fillId="0" borderId="3" xfId="0" applyBorder="1"/>
    <xf numFmtId="0" fontId="0" fillId="0" borderId="0" xfId="0" pivotButton="1"/>
    <xf numFmtId="0" fontId="0" fillId="0" borderId="0" xfId="0" applyAlignment="1">
      <alignment horizontal="left"/>
    </xf>
    <xf numFmtId="0" fontId="5" fillId="4" borderId="1" xfId="4" applyFont="1" applyBorder="1" applyAlignment="1">
      <alignment horizontal="center"/>
    </xf>
    <xf numFmtId="164" fontId="6" fillId="0" borderId="1" xfId="3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3" borderId="0" xfId="2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5" borderId="0" xfId="0" applyFont="1" applyFill="1" applyAlignment="1">
      <alignment horizontal="center"/>
    </xf>
  </cellXfs>
  <cellStyles count="5">
    <cellStyle name="20% - Accent5" xfId="2" builtinId="46"/>
    <cellStyle name="40% - Accent4" xfId="1" builtinId="43"/>
    <cellStyle name="Accent6" xfId="4" builtinId="49"/>
    <cellStyle name="Currency" xfId="3" builtinId="4"/>
    <cellStyle name="Normal" xfId="0" builtinId="0"/>
  </cellStyles>
  <dxfs count="2">
    <dxf>
      <numFmt numFmtId="19" formatCode="dd/mm/yyyy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[basic_proj.xlsx]Sales by city!PivotTable2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city'!$A$4:$A$8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'Sales by city'!$B$4:$B$8</c:f>
              <c:numCache>
                <c:formatCode>0.00</c:formatCode>
                <c:ptCount val="4"/>
                <c:pt idx="0">
                  <c:v>1200</c:v>
                </c:pt>
                <c:pt idx="1">
                  <c:v>480</c:v>
                </c:pt>
                <c:pt idx="2">
                  <c:v>3750</c:v>
                </c:pt>
                <c:pt idx="3">
                  <c:v>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E8-488C-8B51-6616F2C09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048223"/>
        <c:axId val="494053503"/>
      </c:barChart>
      <c:catAx>
        <c:axId val="49404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053503"/>
        <c:crosses val="autoZero"/>
        <c:auto val="1"/>
        <c:lblAlgn val="ctr"/>
        <c:lblOffset val="100"/>
        <c:noMultiLvlLbl val="0"/>
      </c:catAx>
      <c:valAx>
        <c:axId val="49405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04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[basic_proj.xlsx]Orders by Payment method!PivotTable3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'Orders by Payment method'!$B$3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'Orders by Payment method'!$A$4:$A$7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'Orders by Payment method'!$B$4:$B$7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A-4187-B4E0-64E8199E1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063583"/>
        <c:axId val="494052543"/>
      </c:barChart>
      <c:catAx>
        <c:axId val="49406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052543"/>
        <c:crosses val="autoZero"/>
        <c:auto val="1"/>
        <c:lblAlgn val="ctr"/>
        <c:lblOffset val="100"/>
        <c:noMultiLvlLbl val="0"/>
      </c:catAx>
      <c:valAx>
        <c:axId val="49405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06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[basic_proj.xlsx]Avg rating by City!PivotTable4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rating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rating by City'!$A$4:$A$8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'Avg rating by City'!$B$4:$B$8</c:f>
              <c:numCache>
                <c:formatCode>General</c:formatCode>
                <c:ptCount val="4"/>
                <c:pt idx="0">
                  <c:v>4.5</c:v>
                </c:pt>
                <c:pt idx="1">
                  <c:v>2</c:v>
                </c:pt>
                <c:pt idx="2">
                  <c:v>3.4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2-4D21-9552-10DF283AC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029503"/>
        <c:axId val="494015583"/>
      </c:barChart>
      <c:catAx>
        <c:axId val="49402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015583"/>
        <c:crosses val="autoZero"/>
        <c:auto val="1"/>
        <c:lblAlgn val="ctr"/>
        <c:lblOffset val="100"/>
        <c:noMultiLvlLbl val="0"/>
      </c:catAx>
      <c:valAx>
        <c:axId val="49401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02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[basic_proj.xlsx]Delivery Time by City!PivotTable5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'Delivery Time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'Delivery Time by City'!$A$4:$A$8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'Delivery Time by City'!$B$4:$B$8</c:f>
              <c:numCache>
                <c:formatCode>General</c:formatCode>
                <c:ptCount val="4"/>
                <c:pt idx="0">
                  <c:v>40</c:v>
                </c:pt>
                <c:pt idx="1">
                  <c:v>70</c:v>
                </c:pt>
                <c:pt idx="2">
                  <c:v>51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3-4D3E-86CC-5952DDE51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041503"/>
        <c:axId val="494040543"/>
      </c:barChart>
      <c:catAx>
        <c:axId val="49404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040543"/>
        <c:crosses val="autoZero"/>
        <c:auto val="1"/>
        <c:lblAlgn val="ctr"/>
        <c:lblOffset val="100"/>
        <c:noMultiLvlLbl val="0"/>
      </c:catAx>
      <c:valAx>
        <c:axId val="49404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04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75000"/>
                    <a:lumOff val="25000"/>
                  </a:schemeClr>
                </a:solidFill>
              </a:rPr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4"/>
              <c:pt idx="0">
                <c:v>Bangalore</c:v>
              </c:pt>
              <c:pt idx="1">
                <c:v>Chennai</c:v>
              </c:pt>
              <c:pt idx="2">
                <c:v>Delhi</c:v>
              </c:pt>
              <c:pt idx="3">
                <c:v>Mumbai</c:v>
              </c:pt>
            </c:strLit>
          </c:cat>
          <c:val>
            <c:numLit>
              <c:formatCode>General</c:formatCode>
              <c:ptCount val="4"/>
              <c:pt idx="0">
                <c:v>1200</c:v>
              </c:pt>
              <c:pt idx="1">
                <c:v>500</c:v>
              </c:pt>
              <c:pt idx="2">
                <c:v>3750</c:v>
              </c:pt>
              <c:pt idx="3">
                <c:v>920</c:v>
              </c:pt>
            </c:numLit>
          </c:val>
          <c:extLst>
            <c:ext xmlns:c16="http://schemas.microsoft.com/office/drawing/2014/chart" uri="{C3380CC4-5D6E-409C-BE32-E72D297353CC}">
              <c16:uniqueId val="{00000000-CA5C-4908-BC3E-879AE9858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24125439"/>
        <c:axId val="524130719"/>
      </c:barChart>
      <c:catAx>
        <c:axId val="52412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130719"/>
        <c:crosses val="autoZero"/>
        <c:auto val="1"/>
        <c:lblAlgn val="ctr"/>
        <c:lblOffset val="100"/>
        <c:noMultiLvlLbl val="0"/>
      </c:catAx>
      <c:valAx>
        <c:axId val="52413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12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A6-4B98-BB6F-36240C758A3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A6-4B98-BB6F-36240C758A32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A6-4B98-BB6F-36240C758A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Card</c:v>
              </c:pt>
              <c:pt idx="1">
                <c:v>Cash</c:v>
              </c:pt>
              <c:pt idx="2">
                <c:v>UPI</c:v>
              </c:pt>
            </c:strLit>
          </c:cat>
          <c:val>
            <c:numLit>
              <c:formatCode>General</c:formatCode>
              <c:ptCount val="3"/>
              <c:pt idx="0">
                <c:v>319</c:v>
              </c:pt>
              <c:pt idx="1">
                <c:v>210</c:v>
              </c:pt>
              <c:pt idx="2">
                <c:v>532</c:v>
              </c:pt>
            </c:numLit>
          </c:val>
          <c:extLst>
            <c:ext xmlns:c16="http://schemas.microsoft.com/office/drawing/2014/chart" uri="{C3380CC4-5D6E-409C-BE32-E72D297353CC}">
              <c16:uniqueId val="{00000002-0FBA-43A3-BF62-2BF8532E675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75000"/>
                    <a:lumOff val="25000"/>
                  </a:schemeClr>
                </a:solidFill>
              </a:rPr>
              <a:t>Delivery</a:t>
            </a:r>
            <a:r>
              <a:rPr lang="en-US" b="1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Time vs 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Delivery Time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Cleaned_Data!$E$2:$E$11</c:f>
              <c:numCache>
                <c:formatCode>General</c:formatCode>
                <c:ptCount val="10"/>
                <c:pt idx="0">
                  <c:v>35</c:v>
                </c:pt>
                <c:pt idx="1">
                  <c:v>50</c:v>
                </c:pt>
                <c:pt idx="2">
                  <c:v>65</c:v>
                </c:pt>
                <c:pt idx="3">
                  <c:v>45</c:v>
                </c:pt>
                <c:pt idx="4">
                  <c:v>75</c:v>
                </c:pt>
                <c:pt idx="5">
                  <c:v>25</c:v>
                </c:pt>
                <c:pt idx="6">
                  <c:v>90</c:v>
                </c:pt>
                <c:pt idx="7">
                  <c:v>55</c:v>
                </c:pt>
                <c:pt idx="8">
                  <c:v>35</c:v>
                </c:pt>
                <c:pt idx="9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71-4F06-B215-F72E657D3E8B}"/>
            </c:ext>
          </c:extLst>
        </c:ser>
        <c:ser>
          <c:idx val="1"/>
          <c:order val="1"/>
          <c:tx>
            <c:v>Customer Rating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Cleaned_Data!$F$2:$F$11</c:f>
              <c:numCache>
                <c:formatCode>General</c:formatCode>
                <c:ptCount val="1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5</c:v>
                </c:pt>
                <c:pt idx="6">
                  <c:v>2</c:v>
                </c:pt>
                <c:pt idx="7">
                  <c:v>4</c:v>
                </c:pt>
                <c:pt idx="8">
                  <c:v>5</c:v>
                </c:pt>
                <c:pt idx="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8C38-4D3D-87ED-F6412B7A0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410815"/>
        <c:axId val="694418975"/>
      </c:scatterChart>
      <c:valAx>
        <c:axId val="6944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418975"/>
        <c:crosses val="autoZero"/>
        <c:crossBetween val="midCat"/>
      </c:valAx>
      <c:valAx>
        <c:axId val="69441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410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360795</xdr:colOff>
      <xdr:row>2</xdr:row>
      <xdr:rowOff>4619</xdr:rowOff>
    </xdr:from>
    <xdr:to>
      <xdr:col>8</xdr:col>
      <xdr:colOff>432954</xdr:colOff>
      <xdr:row>16</xdr:row>
      <xdr:rowOff>173182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6A2423-F8A2-E615-7DBC-DA6F58D76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228606</xdr:colOff>
      <xdr:row>2</xdr:row>
      <xdr:rowOff>44450</xdr:rowOff>
    </xdr:from>
    <xdr:to>
      <xdr:col>7</xdr:col>
      <xdr:colOff>57150</xdr:colOff>
      <xdr:row>17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832AB3-A29E-A238-5AA4-A1DDF36C4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285756</xdr:colOff>
      <xdr:row>2</xdr:row>
      <xdr:rowOff>88900</xdr:rowOff>
    </xdr:from>
    <xdr:to>
      <xdr:col>7</xdr:col>
      <xdr:colOff>482600</xdr:colOff>
      <xdr:row>17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8DFA0C-2D1B-9F11-3858-7BB2CCFF4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331305</xdr:colOff>
      <xdr:row>2</xdr:row>
      <xdr:rowOff>25400</xdr:rowOff>
    </xdr:from>
    <xdr:to>
      <xdr:col>8</xdr:col>
      <xdr:colOff>92029</xdr:colOff>
      <xdr:row>17</xdr:row>
      <xdr:rowOff>6349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BB9978-4611-0D52-C463-98AA1E629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7</xdr:row>
      <xdr:rowOff>114300</xdr:rowOff>
    </xdr:from>
    <xdr:to>
      <xdr:col>5</xdr:col>
      <xdr:colOff>228600</xdr:colOff>
      <xdr:row>21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6A31E3-FFAF-62FA-3769-7F5409EBF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558800</xdr:colOff>
      <xdr:row>7</xdr:row>
      <xdr:rowOff>114300</xdr:rowOff>
    </xdr:from>
    <xdr:to>
      <xdr:col>10</xdr:col>
      <xdr:colOff>590550</xdr:colOff>
      <xdr:row>21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3AD98C2-FEAA-9CE4-1374-E5E68962F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142875</xdr:colOff>
      <xdr:row>7</xdr:row>
      <xdr:rowOff>127000</xdr:rowOff>
    </xdr:from>
    <xdr:to>
      <xdr:col>16</xdr:col>
      <xdr:colOff>295275</xdr:colOff>
      <xdr:row>22</xdr:row>
      <xdr:rowOff>107950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3740961-159B-DD4D-5351-83849AD86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71.980677314816" createdVersion="8" refreshedVersion="8" minRefreshableVersion="3" recordCount="10" xr:uid="{F94E156A-7498-479F-B2C2-DB5E97D4DD53}">
  <cacheSource type="worksheet">
    <worksheetSource name="Orders_Table"/>
  </cacheSource>
  <cacheFields count="8">
    <cacheField name="Order_ID" numFmtId="0">
      <sharedItems containsSemiMixedTypes="0" containsString="0" containsNumber="1" containsInteger="1" minValue="101" maxValue="111"/>
    </cacheField>
    <cacheField name="Customer" numFmtId="0">
      <sharedItems/>
    </cacheField>
    <cacheField name="City" numFmtId="0">
      <sharedItems count="4">
        <s v="Delhi"/>
        <s v="Mumbai"/>
        <s v="Bangalore"/>
        <s v="Chennai"/>
      </sharedItems>
    </cacheField>
    <cacheField name="Order_Amount" numFmtId="2">
      <sharedItems containsSemiMixedTypes="0" containsString="0" containsNumber="1" containsInteger="1" minValue="300" maxValue="1000"/>
    </cacheField>
    <cacheField name="Delivery_Time_Min" numFmtId="0">
      <sharedItems containsSemiMixedTypes="0" containsString="0" containsNumber="1" containsInteger="1" minValue="25" maxValue="90"/>
    </cacheField>
    <cacheField name="Rating" numFmtId="0">
      <sharedItems containsSemiMixedTypes="0" containsString="0" containsNumber="1" containsInteger="1" minValue="1" maxValue="5"/>
    </cacheField>
    <cacheField name="Payment_Method" numFmtId="0">
      <sharedItems count="3">
        <s v="UPI"/>
        <s v="Cash"/>
        <s v="Card"/>
      </sharedItems>
    </cacheField>
    <cacheField name="Order_Date" numFmtId="14">
      <sharedItems containsSemiMixedTypes="0" containsNonDate="0" containsDate="1" containsString="0" minDate="2026-05-01T00:00:00" maxDate="2026-05-0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1"/>
    <s v="Simran"/>
    <x v="0"/>
    <n v="450"/>
    <n v="35"/>
    <n v="5"/>
    <x v="0"/>
    <d v="2026-05-01T00:00:00"/>
  </r>
  <r>
    <n v="102"/>
    <s v="Aman"/>
    <x v="1"/>
    <n v="620"/>
    <n v="50"/>
    <n v="4"/>
    <x v="1"/>
    <d v="2026-05-01T00:00:00"/>
  </r>
  <r>
    <n v="103"/>
    <s v="Riya"/>
    <x v="0"/>
    <n v="700"/>
    <n v="65"/>
    <n v="2"/>
    <x v="2"/>
    <d v="2026-05-02T00:00:00"/>
  </r>
  <r>
    <n v="104"/>
    <s v="Kabir"/>
    <x v="2"/>
    <n v="550"/>
    <n v="45"/>
    <n v="4"/>
    <x v="0"/>
    <d v="2026-05-02T00:00:00"/>
  </r>
  <r>
    <n v="106"/>
    <s v="Neha"/>
    <x v="0"/>
    <n v="800"/>
    <n v="75"/>
    <n v="1"/>
    <x v="2"/>
    <d v="2026-05-03T00:00:00"/>
  </r>
  <r>
    <n v="107"/>
    <s v="Arjun"/>
    <x v="0"/>
    <n v="800"/>
    <n v="25"/>
    <n v="5"/>
    <x v="0"/>
    <d v="2026-05-04T00:00:00"/>
  </r>
  <r>
    <n v="108"/>
    <s v="Priya"/>
    <x v="1"/>
    <n v="300"/>
    <n v="90"/>
    <n v="2"/>
    <x v="1"/>
    <d v="2026-05-04T00:00:00"/>
  </r>
  <r>
    <n v="109"/>
    <s v="Ravi"/>
    <x v="0"/>
    <n v="1000"/>
    <n v="55"/>
    <n v="4"/>
    <x v="0"/>
    <d v="2026-05-05T00:00:00"/>
  </r>
  <r>
    <n v="110"/>
    <s v="Sneha"/>
    <x v="2"/>
    <n v="650"/>
    <n v="35"/>
    <n v="5"/>
    <x v="2"/>
    <d v="2026-05-05T00:00:00"/>
  </r>
  <r>
    <n v="111"/>
    <s v="Karan"/>
    <x v="3"/>
    <n v="480"/>
    <n v="70"/>
    <n v="2"/>
    <x v="0"/>
    <d v="2026-05-06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32CC7-A4E6-472A-93C3-77BC0731776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ity">
  <location ref="A3:B8" firstHeaderRow="1" firstDataRow="1" firstDataCol="1"/>
  <pivotFields count="8"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dataField="1" numFmtId="2" showAll="0"/>
    <pivotField showAll="0"/>
    <pivotField showAll="0"/>
    <pivotField showAll="0"/>
    <pivotField numFmtId="14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ales" fld="3" baseField="2" baseItem="0" numFmtId="2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E5B75-A13D-422F-A331-AA7D9626331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ayment Method">
  <location ref="A3:B7" firstHeaderRow="1" firstDataRow="1" firstDataCol="1"/>
  <pivotFields count="8">
    <pivotField dataField="1" showAll="0"/>
    <pivotField showAll="0"/>
    <pivotField showAll="0"/>
    <pivotField numFmtId="2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numFmtId="1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. of order" fld="0" subtotal="count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9F90A-1D87-4AB6-9095-436F604076E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ity">
  <location ref="A3:B8" firstHeaderRow="1" firstDataRow="1" firstDataCol="1"/>
  <pivotFields count="8"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numFmtId="2" showAll="0"/>
    <pivotField showAll="0"/>
    <pivotField dataField="1" showAll="0"/>
    <pivotField showAll="0"/>
    <pivotField numFmtId="14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Rating" fld="5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5D6916-663D-4A0C-9DC6-56F4399A3AF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ity">
  <location ref="A3:B8" firstHeaderRow="1" firstDataRow="1" firstDataCol="1"/>
  <pivotFields count="8"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numFmtId="2" showAll="0"/>
    <pivotField dataField="1" showAll="0"/>
    <pivotField showAll="0"/>
    <pivotField showAll="0"/>
    <pivotField numFmtId="14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g Delivery Time" fld="4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50C550-6C85-48FD-9ABC-AD19EA17FAA5}" name="Orders_table" displayName="Orders_table" ref="A1:H11" totalsRowShown="0">
  <autoFilter ref="A1:H11" xr:uid="{A850C550-6C85-48FD-9ABC-AD19EA17FAA5}"/>
  <tableColumns count="8">
    <tableColumn id="1" xr3:uid="{51DE3510-F05D-4F27-967E-E1DAD02B1DD0}" name="Order_ID"/>
    <tableColumn id="2" xr3:uid="{82D79EB6-8178-4D0E-ADD3-EB9C1C441E84}" name="Customer"/>
    <tableColumn id="3" xr3:uid="{F4F25802-F806-441A-89B0-7B962CAB9A61}" name="City">
      <calculatedColumnFormula>PROPER(Raw_Data!C3)</calculatedColumnFormula>
    </tableColumn>
    <tableColumn id="4" xr3:uid="{E3E24FC1-49CA-4CF9-A047-DCE7C2D9D041}" name="Order_Amount" dataDxfId="1">
      <calculatedColumnFormula>IF(Raw_Data!D3 = "five hundred", 500, Raw_Data!D3)</calculatedColumnFormula>
    </tableColumn>
    <tableColumn id="5" xr3:uid="{0A491D53-6790-4894-86A9-8ED480F001AF}" name="Delivery_Time_Min"/>
    <tableColumn id="6" xr3:uid="{CCC0BFB7-02DE-4589-97DA-6C2ECA479CDE}" name="Rating"/>
    <tableColumn id="7" xr3:uid="{395BF0C8-AB1B-48B2-B68D-11F7DD58C14D}" name="Payment_Method"/>
    <tableColumn id="8" xr3:uid="{D0AF40CB-CCD7-4BF6-BBBA-2254E069C593}" name="Order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BE0C-1417-4E23-9A61-184CFBDDC9BB}">
  <dimension ref="A1:H13"/>
  <sheetViews>
    <sheetView workbookViewId="0">
      <selection activeCell="F15" sqref="F15"/>
    </sheetView>
    <sheetView workbookViewId="1"/>
  </sheetViews>
  <sheetFormatPr defaultRowHeight="14.5" x14ac:dyDescent="0.35"/>
  <cols>
    <col min="1" max="1" width="8.54296875" bestFit="1" customWidth="1"/>
    <col min="2" max="2" width="8.90625" bestFit="1" customWidth="1"/>
    <col min="3" max="3" width="9.1796875" bestFit="1" customWidth="1"/>
    <col min="4" max="4" width="13.54296875" bestFit="1" customWidth="1"/>
    <col min="5" max="5" width="17.08984375" bestFit="1" customWidth="1"/>
    <col min="6" max="6" width="6" bestFit="1" customWidth="1"/>
    <col min="7" max="7" width="15.81640625" bestFit="1" customWidth="1"/>
    <col min="8" max="8" width="10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101</v>
      </c>
      <c r="B2" t="s">
        <v>8</v>
      </c>
      <c r="C2" t="s">
        <v>19</v>
      </c>
      <c r="D2">
        <v>450</v>
      </c>
      <c r="E2">
        <v>35</v>
      </c>
      <c r="F2">
        <v>5</v>
      </c>
      <c r="G2" t="s">
        <v>26</v>
      </c>
      <c r="H2" s="1">
        <v>46143</v>
      </c>
    </row>
    <row r="3" spans="1:8" x14ac:dyDescent="0.35">
      <c r="A3">
        <v>102</v>
      </c>
      <c r="B3" t="s">
        <v>9</v>
      </c>
      <c r="C3" t="s">
        <v>20</v>
      </c>
      <c r="D3">
        <v>620</v>
      </c>
      <c r="E3">
        <v>50</v>
      </c>
      <c r="F3">
        <v>4</v>
      </c>
      <c r="G3" t="s">
        <v>27</v>
      </c>
      <c r="H3" s="1">
        <v>46143</v>
      </c>
    </row>
    <row r="4" spans="1:8" x14ac:dyDescent="0.35">
      <c r="A4">
        <v>103</v>
      </c>
      <c r="B4" t="s">
        <v>10</v>
      </c>
      <c r="C4" t="s">
        <v>21</v>
      </c>
      <c r="D4">
        <v>700</v>
      </c>
      <c r="E4">
        <v>65</v>
      </c>
      <c r="F4">
        <v>2</v>
      </c>
      <c r="G4" t="s">
        <v>28</v>
      </c>
      <c r="H4" s="1">
        <v>46144</v>
      </c>
    </row>
    <row r="5" spans="1:8" x14ac:dyDescent="0.35">
      <c r="A5">
        <v>104</v>
      </c>
      <c r="B5" t="s">
        <v>11</v>
      </c>
      <c r="C5" t="s">
        <v>22</v>
      </c>
      <c r="D5">
        <v>550</v>
      </c>
      <c r="E5">
        <v>45</v>
      </c>
      <c r="F5">
        <v>4</v>
      </c>
      <c r="G5" t="s">
        <v>26</v>
      </c>
      <c r="H5" s="1">
        <v>46144</v>
      </c>
    </row>
    <row r="6" spans="1:8" x14ac:dyDescent="0.35">
      <c r="A6">
        <v>105</v>
      </c>
      <c r="B6" t="s">
        <v>12</v>
      </c>
      <c r="C6" t="s">
        <v>23</v>
      </c>
      <c r="D6" t="s">
        <v>25</v>
      </c>
      <c r="E6">
        <v>40</v>
      </c>
      <c r="F6">
        <v>3</v>
      </c>
      <c r="G6" t="s">
        <v>27</v>
      </c>
      <c r="H6" t="s">
        <v>29</v>
      </c>
    </row>
    <row r="7" spans="1:8" x14ac:dyDescent="0.35">
      <c r="A7">
        <v>106</v>
      </c>
      <c r="B7" t="s">
        <v>13</v>
      </c>
      <c r="C7" t="s">
        <v>19</v>
      </c>
      <c r="D7">
        <v>800</v>
      </c>
      <c r="E7">
        <v>75</v>
      </c>
      <c r="F7">
        <v>1</v>
      </c>
      <c r="G7" t="s">
        <v>28</v>
      </c>
      <c r="H7" s="1">
        <v>46145</v>
      </c>
    </row>
    <row r="8" spans="1:8" x14ac:dyDescent="0.35">
      <c r="A8">
        <v>106</v>
      </c>
      <c r="B8" t="s">
        <v>13</v>
      </c>
      <c r="C8" t="s">
        <v>19</v>
      </c>
      <c r="D8">
        <v>800</v>
      </c>
      <c r="E8">
        <v>75</v>
      </c>
      <c r="F8">
        <v>1</v>
      </c>
      <c r="G8" t="s">
        <v>28</v>
      </c>
      <c r="H8" s="1">
        <v>46145</v>
      </c>
    </row>
    <row r="9" spans="1:8" x14ac:dyDescent="0.35">
      <c r="A9">
        <v>107</v>
      </c>
      <c r="B9" t="s">
        <v>14</v>
      </c>
      <c r="C9" t="s">
        <v>20</v>
      </c>
      <c r="D9">
        <v>300</v>
      </c>
      <c r="E9">
        <v>25</v>
      </c>
      <c r="F9">
        <v>5</v>
      </c>
      <c r="G9" t="s">
        <v>26</v>
      </c>
      <c r="H9" s="1">
        <v>46146</v>
      </c>
    </row>
    <row r="10" spans="1:8" x14ac:dyDescent="0.35">
      <c r="A10">
        <v>108</v>
      </c>
      <c r="B10" t="s">
        <v>15</v>
      </c>
      <c r="C10" t="s">
        <v>19</v>
      </c>
      <c r="D10">
        <v>1000</v>
      </c>
      <c r="E10">
        <v>90</v>
      </c>
      <c r="F10">
        <v>2</v>
      </c>
      <c r="G10" t="s">
        <v>27</v>
      </c>
      <c r="H10" s="1">
        <v>46146</v>
      </c>
    </row>
    <row r="11" spans="1:8" x14ac:dyDescent="0.35">
      <c r="A11">
        <v>109</v>
      </c>
      <c r="B11" t="s">
        <v>16</v>
      </c>
      <c r="C11" t="s">
        <v>22</v>
      </c>
      <c r="D11">
        <v>650</v>
      </c>
      <c r="E11">
        <v>55</v>
      </c>
      <c r="F11">
        <v>4</v>
      </c>
      <c r="G11" t="s">
        <v>26</v>
      </c>
      <c r="H11" s="1">
        <v>46147</v>
      </c>
    </row>
    <row r="12" spans="1:8" x14ac:dyDescent="0.35">
      <c r="A12">
        <v>110</v>
      </c>
      <c r="B12" t="s">
        <v>17</v>
      </c>
      <c r="C12" t="s">
        <v>23</v>
      </c>
      <c r="D12">
        <v>480</v>
      </c>
      <c r="E12">
        <v>35</v>
      </c>
      <c r="F12">
        <v>5</v>
      </c>
      <c r="G12" t="s">
        <v>28</v>
      </c>
      <c r="H12" s="1">
        <v>46147</v>
      </c>
    </row>
    <row r="13" spans="1:8" x14ac:dyDescent="0.35">
      <c r="A13">
        <v>111</v>
      </c>
      <c r="B13" t="s">
        <v>18</v>
      </c>
      <c r="C13" t="s">
        <v>24</v>
      </c>
      <c r="D13">
        <v>750</v>
      </c>
      <c r="E13">
        <v>70</v>
      </c>
      <c r="F13">
        <v>2</v>
      </c>
      <c r="G13" t="s">
        <v>26</v>
      </c>
      <c r="H13" s="1">
        <v>46148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2CECC-1F53-425F-AFD2-DC8A6216C44F}">
  <dimension ref="A1:H12"/>
  <sheetViews>
    <sheetView workbookViewId="0">
      <selection activeCell="G15" sqref="G15"/>
    </sheetView>
    <sheetView workbookViewId="1"/>
  </sheetViews>
  <sheetFormatPr defaultRowHeight="14.5" x14ac:dyDescent="0.35"/>
  <cols>
    <col min="1" max="1" width="10.54296875" customWidth="1"/>
    <col min="2" max="2" width="11" customWidth="1"/>
    <col min="4" max="4" width="15.54296875" style="2" customWidth="1"/>
    <col min="5" max="5" width="18.90625" customWidth="1"/>
    <col min="7" max="7" width="18" customWidth="1"/>
    <col min="8" max="8" width="12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101</v>
      </c>
      <c r="B2" t="s">
        <v>8</v>
      </c>
      <c r="C2" t="str">
        <f>PROPER(Raw_Data!C2)</f>
        <v>Delhi</v>
      </c>
      <c r="D2" s="2">
        <f>IF(Raw_Data!D2 = "five hundred", 500, Raw_Data!D2)</f>
        <v>450</v>
      </c>
      <c r="E2">
        <v>35</v>
      </c>
      <c r="F2">
        <v>5</v>
      </c>
      <c r="G2" t="s">
        <v>26</v>
      </c>
      <c r="H2" s="1">
        <v>46143</v>
      </c>
    </row>
    <row r="3" spans="1:8" x14ac:dyDescent="0.35">
      <c r="A3">
        <v>102</v>
      </c>
      <c r="B3" t="s">
        <v>9</v>
      </c>
      <c r="C3" t="str">
        <f>PROPER(Raw_Data!C3)</f>
        <v>Mumbai</v>
      </c>
      <c r="D3" s="2">
        <f>IF(Raw_Data!D3 = "five hundred", 500, Raw_Data!D3)</f>
        <v>620</v>
      </c>
      <c r="E3">
        <v>50</v>
      </c>
      <c r="F3">
        <v>4</v>
      </c>
      <c r="G3" t="s">
        <v>27</v>
      </c>
      <c r="H3" s="1">
        <v>46143</v>
      </c>
    </row>
    <row r="4" spans="1:8" x14ac:dyDescent="0.35">
      <c r="A4">
        <v>103</v>
      </c>
      <c r="B4" t="s">
        <v>10</v>
      </c>
      <c r="C4" t="str">
        <f>PROPER(Raw_Data!C4)</f>
        <v>Delhi</v>
      </c>
      <c r="D4" s="2">
        <f>IF(Raw_Data!D4 = "five hundred", 500, Raw_Data!D4)</f>
        <v>700</v>
      </c>
      <c r="E4">
        <v>65</v>
      </c>
      <c r="F4">
        <v>2</v>
      </c>
      <c r="G4" t="s">
        <v>28</v>
      </c>
      <c r="H4" s="1">
        <v>46144</v>
      </c>
    </row>
    <row r="5" spans="1:8" x14ac:dyDescent="0.35">
      <c r="A5">
        <v>104</v>
      </c>
      <c r="B5" t="s">
        <v>11</v>
      </c>
      <c r="C5" t="str">
        <f>PROPER(Raw_Data!C5)</f>
        <v>Bangalore</v>
      </c>
      <c r="D5" s="2">
        <f>IF(Raw_Data!D5 = "five hundred", 500, Raw_Data!D5)</f>
        <v>550</v>
      </c>
      <c r="E5">
        <v>45</v>
      </c>
      <c r="F5">
        <v>4</v>
      </c>
      <c r="G5" t="s">
        <v>26</v>
      </c>
      <c r="H5" s="1">
        <v>46144</v>
      </c>
    </row>
    <row r="6" spans="1:8" x14ac:dyDescent="0.35">
      <c r="A6">
        <v>106</v>
      </c>
      <c r="B6" t="s">
        <v>13</v>
      </c>
      <c r="C6" t="str">
        <f>PROPER(Raw_Data!C7)</f>
        <v>Delhi</v>
      </c>
      <c r="D6" s="2">
        <f>IF(Raw_Data!D7 = "five hundred", 500, Raw_Data!D7)</f>
        <v>800</v>
      </c>
      <c r="E6">
        <v>75</v>
      </c>
      <c r="F6">
        <v>1</v>
      </c>
      <c r="G6" t="s">
        <v>28</v>
      </c>
      <c r="H6" s="1">
        <v>46145</v>
      </c>
    </row>
    <row r="7" spans="1:8" x14ac:dyDescent="0.35">
      <c r="A7">
        <v>107</v>
      </c>
      <c r="B7" t="s">
        <v>14</v>
      </c>
      <c r="C7" t="str">
        <f>PROPER(Raw_Data!C8)</f>
        <v>Delhi</v>
      </c>
      <c r="D7" s="2">
        <f>IF(Raw_Data!D8 = "five hundred", 500, Raw_Data!D8)</f>
        <v>800</v>
      </c>
      <c r="E7">
        <v>25</v>
      </c>
      <c r="F7">
        <v>5</v>
      </c>
      <c r="G7" t="s">
        <v>26</v>
      </c>
      <c r="H7" s="1">
        <v>46146</v>
      </c>
    </row>
    <row r="8" spans="1:8" x14ac:dyDescent="0.35">
      <c r="A8">
        <v>108</v>
      </c>
      <c r="B8" t="s">
        <v>15</v>
      </c>
      <c r="C8" t="str">
        <f>PROPER(Raw_Data!C9)</f>
        <v>Mumbai</v>
      </c>
      <c r="D8" s="2">
        <f>IF(Raw_Data!D9 = "five hundred", 500, Raw_Data!D9)</f>
        <v>300</v>
      </c>
      <c r="E8">
        <v>90</v>
      </c>
      <c r="F8">
        <v>2</v>
      </c>
      <c r="G8" t="s">
        <v>27</v>
      </c>
      <c r="H8" s="1">
        <v>46146</v>
      </c>
    </row>
    <row r="9" spans="1:8" x14ac:dyDescent="0.35">
      <c r="A9">
        <v>109</v>
      </c>
      <c r="B9" t="s">
        <v>16</v>
      </c>
      <c r="C9" t="str">
        <f>PROPER(Raw_Data!C10)</f>
        <v>Delhi</v>
      </c>
      <c r="D9" s="2">
        <f>IF(Raw_Data!D10 = "five hundred", 500, Raw_Data!D10)</f>
        <v>1000</v>
      </c>
      <c r="E9">
        <v>55</v>
      </c>
      <c r="F9">
        <v>4</v>
      </c>
      <c r="G9" t="s">
        <v>26</v>
      </c>
      <c r="H9" s="1">
        <v>46147</v>
      </c>
    </row>
    <row r="10" spans="1:8" x14ac:dyDescent="0.35">
      <c r="A10">
        <v>110</v>
      </c>
      <c r="B10" t="s">
        <v>17</v>
      </c>
      <c r="C10" t="str">
        <f>PROPER(Raw_Data!C11)</f>
        <v>Bangalore</v>
      </c>
      <c r="D10" s="2">
        <f>IF(Raw_Data!D11 = "five hundred", 500, Raw_Data!D11)</f>
        <v>650</v>
      </c>
      <c r="E10">
        <v>35</v>
      </c>
      <c r="F10">
        <v>5</v>
      </c>
      <c r="G10" t="s">
        <v>28</v>
      </c>
      <c r="H10" s="1">
        <v>46147</v>
      </c>
    </row>
    <row r="11" spans="1:8" x14ac:dyDescent="0.35">
      <c r="A11">
        <v>111</v>
      </c>
      <c r="B11" t="s">
        <v>18</v>
      </c>
      <c r="C11" t="str">
        <f>PROPER(Raw_Data!C12)</f>
        <v>Chennai</v>
      </c>
      <c r="D11" s="2">
        <f>IF(Raw_Data!D12 = "five hundred", 500, Raw_Data!D12)</f>
        <v>480</v>
      </c>
      <c r="E11">
        <v>70</v>
      </c>
      <c r="F11">
        <v>2</v>
      </c>
      <c r="G11" t="s">
        <v>26</v>
      </c>
      <c r="H11" s="1">
        <v>46148</v>
      </c>
    </row>
    <row r="12" spans="1:8" x14ac:dyDescent="0.35">
      <c r="D12"/>
    </row>
  </sheetData>
  <pageMargins left="0.7" right="0.7" top="0.75" bottom="0.75" header="0.3" footer="0.3"/>
  <pageSetup paperSize="0" orientation="portrait" horizontalDpi="0" verticalDpi="0" copies="0"/>
  <ignoredErrors>
    <ignoredError sqref="C2:D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95994-5D31-4035-A901-779CC474B938}">
  <dimension ref="A2:G46"/>
  <sheetViews>
    <sheetView zoomScale="95" zoomScaleNormal="95" workbookViewId="0">
      <selection activeCell="D15" sqref="D15"/>
    </sheetView>
    <sheetView workbookViewId="1"/>
  </sheetViews>
  <sheetFormatPr defaultRowHeight="14.5" x14ac:dyDescent="0.35"/>
  <cols>
    <col min="1" max="1" width="5.54296875" bestFit="1" customWidth="1"/>
    <col min="2" max="2" width="40.7265625" customWidth="1"/>
    <col min="3" max="3" width="7.6328125" bestFit="1" customWidth="1"/>
    <col min="4" max="4" width="7.6328125" customWidth="1"/>
    <col min="6" max="6" width="9.6328125" bestFit="1" customWidth="1"/>
  </cols>
  <sheetData>
    <row r="2" spans="1:7" x14ac:dyDescent="0.35">
      <c r="A2" s="7" t="s">
        <v>40</v>
      </c>
      <c r="B2" s="7" t="s">
        <v>41</v>
      </c>
      <c r="C2" s="7" t="s">
        <v>42</v>
      </c>
      <c r="E2" s="15" t="s">
        <v>43</v>
      </c>
      <c r="F2" s="15"/>
    </row>
    <row r="3" spans="1:7" x14ac:dyDescent="0.35">
      <c r="A3" s="5">
        <v>1</v>
      </c>
      <c r="B3" s="5" t="s">
        <v>33</v>
      </c>
      <c r="C3" s="6">
        <f>SUM(F3:F6)</f>
        <v>6350</v>
      </c>
      <c r="D3" s="2"/>
      <c r="E3" t="s">
        <v>21</v>
      </c>
      <c r="F3">
        <f>SUMIF(Orders_table[City],Analysis!E3,Orders_table[Order_Amount])</f>
        <v>3750</v>
      </c>
    </row>
    <row r="4" spans="1:7" x14ac:dyDescent="0.35">
      <c r="A4" s="5">
        <v>2</v>
      </c>
      <c r="B4" s="5" t="s">
        <v>34</v>
      </c>
      <c r="C4" s="5" t="str">
        <f>PROPER(_xlfn.XLOOKUP(MAX(F3:F6),F3:F6,E3:E6))</f>
        <v>Delhi</v>
      </c>
      <c r="E4" t="s">
        <v>30</v>
      </c>
      <c r="F4">
        <f>SUMIF(Orders_table[City],Analysis!E4,Orders_table[Order_Amount])</f>
        <v>920</v>
      </c>
    </row>
    <row r="5" spans="1:7" x14ac:dyDescent="0.35">
      <c r="A5" s="5">
        <v>3</v>
      </c>
      <c r="B5" s="5" t="s">
        <v>35</v>
      </c>
      <c r="C5" s="5">
        <f>AVERAGE(Orders_table[Delivery_Time_Min])</f>
        <v>54.5</v>
      </c>
      <c r="E5" t="s">
        <v>32</v>
      </c>
      <c r="F5">
        <f>SUMIF(Orders_table[City],Analysis!E5,Orders_table[Order_Amount])</f>
        <v>1200</v>
      </c>
    </row>
    <row r="6" spans="1:7" x14ac:dyDescent="0.35">
      <c r="A6" s="5">
        <v>4</v>
      </c>
      <c r="B6" s="5" t="s">
        <v>36</v>
      </c>
      <c r="C6" s="5" t="str">
        <f>_xlfn.XLOOKUP(MAX(F9:F11),F9:F11,E9:E11)</f>
        <v>UPI</v>
      </c>
      <c r="E6" t="s">
        <v>31</v>
      </c>
      <c r="F6">
        <f>SUMIF(Orders_table[City],Analysis!E6,Orders_table[Order_Amount])</f>
        <v>480</v>
      </c>
    </row>
    <row r="7" spans="1:7" x14ac:dyDescent="0.35">
      <c r="A7" s="5">
        <v>5</v>
      </c>
      <c r="B7" s="8" t="s">
        <v>37</v>
      </c>
      <c r="C7" s="5" t="str">
        <f>PROPER(_xlfn.XLOOKUP(MIN(F14:F17),F14:F17,E14:E17))</f>
        <v>Chennai</v>
      </c>
    </row>
    <row r="8" spans="1:7" x14ac:dyDescent="0.35">
      <c r="A8" s="16">
        <v>6</v>
      </c>
      <c r="B8" s="8" t="s">
        <v>38</v>
      </c>
      <c r="C8" s="18" t="str">
        <f>IF(F20&gt;=0,"No", "Yes")</f>
        <v>Yes</v>
      </c>
      <c r="E8" s="15" t="s">
        <v>44</v>
      </c>
      <c r="F8" s="15"/>
    </row>
    <row r="9" spans="1:7" x14ac:dyDescent="0.35">
      <c r="A9" s="17"/>
      <c r="B9" s="9" t="s">
        <v>39</v>
      </c>
      <c r="C9" s="17"/>
      <c r="E9" t="s">
        <v>26</v>
      </c>
      <c r="F9">
        <f>COUNTIF(Orders_table[Payment_Method],Analysis!E9)</f>
        <v>5</v>
      </c>
    </row>
    <row r="10" spans="1:7" ht="14" customHeight="1" x14ac:dyDescent="0.35">
      <c r="B10" s="3"/>
      <c r="E10" t="s">
        <v>27</v>
      </c>
      <c r="F10">
        <f>COUNTIF(Orders_table[Payment_Method],Analysis!E10)</f>
        <v>2</v>
      </c>
    </row>
    <row r="11" spans="1:7" ht="14" customHeight="1" x14ac:dyDescent="0.35">
      <c r="E11" t="s">
        <v>28</v>
      </c>
      <c r="F11">
        <f>COUNTIF(Orders_table[Payment_Method],Analysis!E11)</f>
        <v>3</v>
      </c>
    </row>
    <row r="12" spans="1:7" ht="14" customHeight="1" x14ac:dyDescent="0.35">
      <c r="G12" s="4"/>
    </row>
    <row r="13" spans="1:7" ht="14" customHeight="1" x14ac:dyDescent="0.35">
      <c r="E13" s="15" t="s">
        <v>45</v>
      </c>
      <c r="F13" s="15"/>
    </row>
    <row r="14" spans="1:7" ht="14" customHeight="1" x14ac:dyDescent="0.35">
      <c r="E14" t="s">
        <v>21</v>
      </c>
      <c r="F14">
        <f>AVERAGEIF(Orders_table[City],Analysis!E14,Orders_table[Rating])</f>
        <v>3.4</v>
      </c>
    </row>
    <row r="15" spans="1:7" ht="14" customHeight="1" x14ac:dyDescent="0.35">
      <c r="E15" t="s">
        <v>30</v>
      </c>
      <c r="F15">
        <f>AVERAGEIF(Orders_table[City],Analysis!E15,Orders_table[Rating])</f>
        <v>3</v>
      </c>
    </row>
    <row r="16" spans="1:7" ht="14" customHeight="1" x14ac:dyDescent="0.35">
      <c r="E16" t="s">
        <v>32</v>
      </c>
      <c r="F16">
        <f>AVERAGEIF(Orders_table[City],Analysis!E16,Orders_table[Rating])</f>
        <v>4.5</v>
      </c>
    </row>
    <row r="17" spans="2:6" ht="14" customHeight="1" x14ac:dyDescent="0.35">
      <c r="E17" t="s">
        <v>31</v>
      </c>
      <c r="F17">
        <f>AVERAGEIF(Orders_table[City],Analysis!E17,Orders_table[Rating])</f>
        <v>2</v>
      </c>
    </row>
    <row r="18" spans="2:6" ht="14" customHeight="1" x14ac:dyDescent="0.35"/>
    <row r="19" spans="2:6" ht="14" customHeight="1" x14ac:dyDescent="0.35">
      <c r="E19" s="15" t="s">
        <v>46</v>
      </c>
      <c r="F19" s="15"/>
    </row>
    <row r="20" spans="2:6" ht="14" customHeight="1" x14ac:dyDescent="0.35">
      <c r="E20" t="s">
        <v>47</v>
      </c>
      <c r="F20">
        <f>CORREL(Orders_table[Delivery_Time_Min],Orders_table[Rating])</f>
        <v>-0.91199154752215472</v>
      </c>
    </row>
    <row r="21" spans="2:6" ht="14" customHeight="1" x14ac:dyDescent="0.35"/>
    <row r="22" spans="2:6" ht="14" customHeight="1" x14ac:dyDescent="0.35">
      <c r="B22" s="3"/>
    </row>
    <row r="23" spans="2:6" ht="14" customHeight="1" x14ac:dyDescent="0.35"/>
    <row r="24" spans="2:6" ht="14" customHeight="1" x14ac:dyDescent="0.35"/>
    <row r="25" spans="2:6" ht="14" customHeight="1" x14ac:dyDescent="0.35"/>
    <row r="26" spans="2:6" ht="14" customHeight="1" x14ac:dyDescent="0.35"/>
    <row r="27" spans="2:6" ht="14" customHeight="1" x14ac:dyDescent="0.35"/>
    <row r="28" spans="2:6" ht="14" customHeight="1" x14ac:dyDescent="0.35">
      <c r="B28" s="3"/>
    </row>
    <row r="29" spans="2:6" ht="14" customHeight="1" x14ac:dyDescent="0.35"/>
    <row r="30" spans="2:6" ht="14" customHeight="1" x14ac:dyDescent="0.35"/>
    <row r="31" spans="2:6" ht="14" customHeight="1" x14ac:dyDescent="0.35"/>
    <row r="32" spans="2:6" ht="14" customHeight="1" x14ac:dyDescent="0.35"/>
    <row r="33" spans="2:2" ht="14" customHeight="1" x14ac:dyDescent="0.35"/>
    <row r="34" spans="2:2" ht="14" customHeight="1" x14ac:dyDescent="0.35">
      <c r="B34" s="3"/>
    </row>
    <row r="35" spans="2:2" ht="14" customHeight="1" x14ac:dyDescent="0.35"/>
    <row r="36" spans="2:2" ht="14" customHeight="1" x14ac:dyDescent="0.35"/>
    <row r="37" spans="2:2" ht="14" customHeight="1" x14ac:dyDescent="0.35"/>
    <row r="38" spans="2:2" ht="14" customHeight="1" x14ac:dyDescent="0.35"/>
    <row r="39" spans="2:2" ht="14" customHeight="1" x14ac:dyDescent="0.35"/>
    <row r="40" spans="2:2" ht="14" customHeight="1" x14ac:dyDescent="0.35">
      <c r="B40" s="3"/>
    </row>
    <row r="41" spans="2:2" ht="14" customHeight="1" x14ac:dyDescent="0.35"/>
    <row r="42" spans="2:2" ht="14" customHeight="1" x14ac:dyDescent="0.35"/>
    <row r="43" spans="2:2" ht="14" customHeight="1" x14ac:dyDescent="0.35"/>
    <row r="44" spans="2:2" ht="14" customHeight="1" x14ac:dyDescent="0.35"/>
    <row r="45" spans="2:2" ht="14" customHeight="1" x14ac:dyDescent="0.35"/>
    <row r="46" spans="2:2" ht="14" customHeight="1" x14ac:dyDescent="0.35"/>
  </sheetData>
  <mergeCells count="6">
    <mergeCell ref="E19:F19"/>
    <mergeCell ref="A8:A9"/>
    <mergeCell ref="E8:F8"/>
    <mergeCell ref="E13:F13"/>
    <mergeCell ref="E2:F2"/>
    <mergeCell ref="C8:C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9FAF3-E599-45BE-A1C6-731AA5FD013E}">
  <dimension ref="A3:B8"/>
  <sheetViews>
    <sheetView zoomScale="94" zoomScaleNormal="94" workbookViewId="0">
      <selection activeCell="B15" sqref="B15"/>
    </sheetView>
    <sheetView workbookViewId="1"/>
  </sheetViews>
  <sheetFormatPr defaultRowHeight="14.5" x14ac:dyDescent="0.35"/>
  <cols>
    <col min="1" max="1" width="10.7265625" bestFit="1" customWidth="1"/>
    <col min="2" max="2" width="7.81640625" bestFit="1" customWidth="1"/>
  </cols>
  <sheetData>
    <row r="3" spans="1:2" x14ac:dyDescent="0.35">
      <c r="A3" s="10" t="s">
        <v>2</v>
      </c>
      <c r="B3" t="s">
        <v>49</v>
      </c>
    </row>
    <row r="4" spans="1:2" x14ac:dyDescent="0.35">
      <c r="A4" s="11" t="s">
        <v>22</v>
      </c>
      <c r="B4" s="2">
        <v>1200</v>
      </c>
    </row>
    <row r="5" spans="1:2" x14ac:dyDescent="0.35">
      <c r="A5" s="11" t="s">
        <v>23</v>
      </c>
      <c r="B5" s="2">
        <v>480</v>
      </c>
    </row>
    <row r="6" spans="1:2" x14ac:dyDescent="0.35">
      <c r="A6" s="11" t="s">
        <v>19</v>
      </c>
      <c r="B6" s="2">
        <v>3750</v>
      </c>
    </row>
    <row r="7" spans="1:2" x14ac:dyDescent="0.35">
      <c r="A7" s="11" t="s">
        <v>20</v>
      </c>
      <c r="B7" s="2">
        <v>920</v>
      </c>
    </row>
    <row r="8" spans="1:2" x14ac:dyDescent="0.35">
      <c r="A8" s="11" t="s">
        <v>48</v>
      </c>
      <c r="B8" s="2">
        <v>6350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4C337-4D4E-4A32-819B-3C9F571DADB9}">
  <dimension ref="A3:B7"/>
  <sheetViews>
    <sheetView workbookViewId="0">
      <selection activeCell="E21" sqref="E21"/>
    </sheetView>
    <sheetView workbookViewId="1"/>
  </sheetViews>
  <sheetFormatPr defaultRowHeight="14.5" x14ac:dyDescent="0.35"/>
  <cols>
    <col min="1" max="1" width="17.81640625" bestFit="1" customWidth="1"/>
    <col min="2" max="2" width="11" bestFit="1" customWidth="1"/>
  </cols>
  <sheetData>
    <row r="3" spans="1:2" x14ac:dyDescent="0.35">
      <c r="A3" s="10" t="s">
        <v>50</v>
      </c>
      <c r="B3" t="s">
        <v>51</v>
      </c>
    </row>
    <row r="4" spans="1:2" x14ac:dyDescent="0.35">
      <c r="A4" s="11" t="s">
        <v>28</v>
      </c>
      <c r="B4">
        <v>3</v>
      </c>
    </row>
    <row r="5" spans="1:2" x14ac:dyDescent="0.35">
      <c r="A5" s="11" t="s">
        <v>27</v>
      </c>
      <c r="B5">
        <v>2</v>
      </c>
    </row>
    <row r="6" spans="1:2" x14ac:dyDescent="0.35">
      <c r="A6" s="11" t="s">
        <v>26</v>
      </c>
      <c r="B6">
        <v>5</v>
      </c>
    </row>
    <row r="7" spans="1:2" x14ac:dyDescent="0.35">
      <c r="A7" s="11" t="s">
        <v>48</v>
      </c>
      <c r="B7">
        <v>10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D6244-84E7-46DD-B12D-DA6C5D2B4016}">
  <dimension ref="A3:B8"/>
  <sheetViews>
    <sheetView workbookViewId="0">
      <selection activeCell="J19" activeCellId="1" sqref="B13 J19"/>
    </sheetView>
    <sheetView workbookViewId="1"/>
  </sheetViews>
  <sheetFormatPr defaultRowHeight="14.5" x14ac:dyDescent="0.35"/>
  <cols>
    <col min="1" max="1" width="10.7265625" bestFit="1" customWidth="1"/>
    <col min="2" max="2" width="13.36328125" bestFit="1" customWidth="1"/>
  </cols>
  <sheetData>
    <row r="3" spans="1:2" x14ac:dyDescent="0.35">
      <c r="A3" s="10" t="s">
        <v>2</v>
      </c>
      <c r="B3" t="s">
        <v>52</v>
      </c>
    </row>
    <row r="4" spans="1:2" x14ac:dyDescent="0.35">
      <c r="A4" s="11" t="s">
        <v>22</v>
      </c>
      <c r="B4">
        <v>4.5</v>
      </c>
    </row>
    <row r="5" spans="1:2" x14ac:dyDescent="0.35">
      <c r="A5" s="11" t="s">
        <v>23</v>
      </c>
      <c r="B5">
        <v>2</v>
      </c>
    </row>
    <row r="6" spans="1:2" x14ac:dyDescent="0.35">
      <c r="A6" s="11" t="s">
        <v>19</v>
      </c>
      <c r="B6">
        <v>3.4</v>
      </c>
    </row>
    <row r="7" spans="1:2" x14ac:dyDescent="0.35">
      <c r="A7" s="11" t="s">
        <v>20</v>
      </c>
      <c r="B7">
        <v>3</v>
      </c>
    </row>
    <row r="8" spans="1:2" x14ac:dyDescent="0.35">
      <c r="A8" s="11" t="s">
        <v>48</v>
      </c>
      <c r="B8">
        <v>3.4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768A-F111-4B41-BAF3-FD7F27320071}">
  <dimension ref="A3:B8"/>
  <sheetViews>
    <sheetView zoomScale="69" zoomScaleNormal="69" workbookViewId="0">
      <selection activeCell="F24" sqref="F24"/>
    </sheetView>
    <sheetView workbookViewId="1"/>
  </sheetViews>
  <sheetFormatPr defaultRowHeight="14.5" x14ac:dyDescent="0.35"/>
  <cols>
    <col min="1" max="1" width="10.7265625" bestFit="1" customWidth="1"/>
    <col min="2" max="2" width="15.90625" bestFit="1" customWidth="1"/>
  </cols>
  <sheetData>
    <row r="3" spans="1:2" x14ac:dyDescent="0.35">
      <c r="A3" s="10" t="s">
        <v>2</v>
      </c>
      <c r="B3" t="s">
        <v>53</v>
      </c>
    </row>
    <row r="4" spans="1:2" x14ac:dyDescent="0.35">
      <c r="A4" s="11" t="s">
        <v>22</v>
      </c>
      <c r="B4">
        <v>40</v>
      </c>
    </row>
    <row r="5" spans="1:2" x14ac:dyDescent="0.35">
      <c r="A5" s="11" t="s">
        <v>23</v>
      </c>
      <c r="B5">
        <v>70</v>
      </c>
    </row>
    <row r="6" spans="1:2" x14ac:dyDescent="0.35">
      <c r="A6" s="11" t="s">
        <v>19</v>
      </c>
      <c r="B6">
        <v>51</v>
      </c>
    </row>
    <row r="7" spans="1:2" x14ac:dyDescent="0.35">
      <c r="A7" s="11" t="s">
        <v>20</v>
      </c>
      <c r="B7">
        <v>70</v>
      </c>
    </row>
    <row r="8" spans="1:2" x14ac:dyDescent="0.35">
      <c r="A8" s="11" t="s">
        <v>48</v>
      </c>
      <c r="B8">
        <v>54.5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C68AB-07A8-4143-93CB-A55600B0E60F}">
  <sheetPr>
    <pageSetUpPr fitToPage="1"/>
  </sheetPr>
  <dimension ref="A2:Q5"/>
  <sheetViews>
    <sheetView showGridLines="0" showRowColHeaders="0" tabSelected="1" zoomScale="92" zoomScaleNormal="92" workbookViewId="0">
      <selection activeCell="I1" sqref="I1"/>
    </sheetView>
    <sheetView tabSelected="1" showRuler="0" zoomScale="56" zoomScaleNormal="100" workbookViewId="1">
      <selection activeCell="G33" sqref="G33"/>
    </sheetView>
  </sheetViews>
  <sheetFormatPr defaultRowHeight="14.5" x14ac:dyDescent="0.35"/>
  <cols>
    <col min="1" max="1" width="12.36328125" bestFit="1" customWidth="1"/>
    <col min="2" max="2" width="8.7265625" customWidth="1"/>
    <col min="3" max="3" width="11.54296875" customWidth="1"/>
    <col min="6" max="6" width="12.26953125" customWidth="1"/>
    <col min="7" max="8" width="8.7265625" customWidth="1"/>
    <col min="9" max="9" width="16.90625" customWidth="1"/>
    <col min="12" max="13" width="8.7265625" customWidth="1"/>
    <col min="14" max="20" width="15.26953125" bestFit="1" customWidth="1"/>
    <col min="21" max="21" width="10.7265625" bestFit="1" customWidth="1"/>
  </cols>
  <sheetData>
    <row r="2" spans="1:17" ht="30" x14ac:dyDescent="0.6">
      <c r="A2" s="19" t="s">
        <v>56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28" customHeight="1" x14ac:dyDescent="0.35"/>
    <row r="4" spans="1:17" ht="26" x14ac:dyDescent="0.6">
      <c r="E4" s="12" t="s">
        <v>54</v>
      </c>
      <c r="F4" s="12"/>
      <c r="I4" s="12" t="s">
        <v>55</v>
      </c>
      <c r="J4" s="12"/>
      <c r="M4" s="12" t="s">
        <v>52</v>
      </c>
      <c r="N4" s="12"/>
    </row>
    <row r="5" spans="1:17" ht="26" x14ac:dyDescent="0.6">
      <c r="E5" s="13">
        <f>SUM(Cleaned_Data!D2:D11)</f>
        <v>6350</v>
      </c>
      <c r="F5" s="13"/>
      <c r="I5" s="14">
        <f>COUNT(Cleaned_Data!A2:A11)</f>
        <v>10</v>
      </c>
      <c r="J5" s="14"/>
      <c r="M5" s="14">
        <f>AVERAGE(Cleaned_Data!F2:F11)</f>
        <v>3.4</v>
      </c>
      <c r="N5" s="14"/>
    </row>
  </sheetData>
  <mergeCells count="7">
    <mergeCell ref="A2:Q2"/>
    <mergeCell ref="E4:F4"/>
    <mergeCell ref="E5:F5"/>
    <mergeCell ref="I4:J4"/>
    <mergeCell ref="I5:J5"/>
    <mergeCell ref="M4:N4"/>
    <mergeCell ref="M5:N5"/>
  </mergeCells>
  <pageMargins left="0.7" right="0.7" top="0.75" bottom="0.75" header="0.3" footer="0.3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Raw_Data</vt:lpstr>
      <vt:lpstr>Cleaned_Data</vt:lpstr>
      <vt:lpstr>Analysis</vt:lpstr>
      <vt:lpstr>Sales by city</vt:lpstr>
      <vt:lpstr>Orders by Payment method</vt:lpstr>
      <vt:lpstr>Avg rating by City</vt:lpstr>
      <vt:lpstr>Delivery Time by City</vt:lpstr>
      <vt:lpstr>Dashboard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 dua</dc:creator>
  <cp:lastModifiedBy>simrann8282@outlook.com</cp:lastModifiedBy>
  <cp:lastPrinted>2026-05-29T18:39:01Z</cp:lastPrinted>
  <dcterms:created xsi:type="dcterms:W3CDTF">2026-05-23T18:39:37Z</dcterms:created>
  <dcterms:modified xsi:type="dcterms:W3CDTF">2026-05-29T18:40:57Z</dcterms:modified>
</cp:coreProperties>
</file>